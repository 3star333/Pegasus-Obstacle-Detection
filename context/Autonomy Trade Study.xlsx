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angwemusonda/Desktop/"/>
    </mc:Choice>
  </mc:AlternateContent>
  <xr:revisionPtr revIDLastSave="0" documentId="13_ncr:1_{82043C41-E788-1B4B-BF49-EB756115F7F7}" xr6:coauthVersionLast="47" xr6:coauthVersionMax="47" xr10:uidLastSave="{00000000-0000-0000-0000-000000000000}"/>
  <bookViews>
    <workbookView xWindow="0" yWindow="0" windowWidth="28800" windowHeight="18000" activeTab="2" xr2:uid="{70036B2F-BBA6-3E46-B190-6438E1FBB5A6}"/>
  </bookViews>
  <sheets>
    <sheet name="Path Planning 1" sheetId="1" r:id="rId1"/>
    <sheet name="Path Planning 2" sheetId="4" r:id="rId2"/>
    <sheet name="Path Planning 3" sheetId="5" r:id="rId3"/>
    <sheet name="Obj Avoidance 1" sheetId="14" r:id="rId4"/>
    <sheet name="Obj Avoidance 2" sheetId="15" r:id="rId5"/>
    <sheet name="Obj Avoidance 3" sheetId="16" r:id="rId6"/>
    <sheet name="Perception 1" sheetId="17" r:id="rId7"/>
    <sheet name="Perception 2" sheetId="18" r:id="rId8"/>
  </sheets>
  <externalReferences>
    <externalReference r:id="rId9"/>
  </externalReferences>
  <definedNames>
    <definedName name="BLUE">[1]Summary!$C$3</definedName>
    <definedName name="GREEN">[1]Summary!$C$4</definedName>
    <definedName name="RED">[1]Summary!$C$6</definedName>
    <definedName name="YELLOW">[1]Summary!$C$5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6" l="1"/>
  <c r="G10" i="16"/>
  <c r="G9" i="16"/>
  <c r="G8" i="16"/>
  <c r="G7" i="16"/>
  <c r="G6" i="16"/>
  <c r="G5" i="16"/>
  <c r="H8" i="16" s="1"/>
  <c r="G11" i="15"/>
  <c r="G10" i="15"/>
  <c r="G9" i="15"/>
  <c r="H8" i="15" s="1"/>
  <c r="G8" i="15"/>
  <c r="G7" i="15"/>
  <c r="G6" i="15"/>
  <c r="G5" i="15"/>
  <c r="G11" i="14"/>
  <c r="G10" i="14"/>
  <c r="G9" i="14"/>
  <c r="H8" i="14"/>
  <c r="G8" i="14"/>
  <c r="G7" i="14"/>
  <c r="G6" i="14"/>
  <c r="G5" i="14"/>
  <c r="G12" i="5"/>
  <c r="G11" i="5"/>
  <c r="G10" i="5"/>
  <c r="G9" i="5"/>
  <c r="G8" i="5"/>
  <c r="H9" i="5" s="1"/>
  <c r="G7" i="5"/>
  <c r="G6" i="5"/>
  <c r="G5" i="5"/>
  <c r="G12" i="4"/>
  <c r="G11" i="4"/>
  <c r="G10" i="4"/>
  <c r="G9" i="4"/>
  <c r="G8" i="4"/>
  <c r="G7" i="4"/>
  <c r="G6" i="4"/>
  <c r="G5" i="4"/>
  <c r="H9" i="4" s="1"/>
  <c r="G12" i="1"/>
  <c r="G11" i="1"/>
  <c r="G10" i="1"/>
  <c r="G9" i="1"/>
  <c r="G8" i="1"/>
  <c r="G7" i="1"/>
  <c r="G6" i="1"/>
  <c r="H9" i="1" s="1"/>
  <c r="G5" i="1"/>
  <c r="G13" i="18"/>
  <c r="G13" i="17"/>
  <c r="G12" i="18"/>
  <c r="G11" i="18"/>
  <c r="G10" i="18"/>
  <c r="G9" i="18"/>
  <c r="G8" i="18"/>
  <c r="G7" i="18"/>
  <c r="G6" i="18"/>
  <c r="G5" i="18"/>
  <c r="H8" i="18" s="1"/>
  <c r="G12" i="17"/>
  <c r="G11" i="17"/>
  <c r="G10" i="17"/>
  <c r="G9" i="17"/>
  <c r="G8" i="17"/>
  <c r="G7" i="17"/>
  <c r="G6" i="17"/>
  <c r="G5" i="17"/>
  <c r="H8" i="17" l="1"/>
  <c r="F29" i="4"/>
  <c r="E29" i="4"/>
  <c r="F28" i="4"/>
  <c r="E28" i="4"/>
  <c r="F27" i="4"/>
  <c r="E27" i="4"/>
  <c r="F26" i="4"/>
  <c r="E26" i="4"/>
  <c r="F29" i="1"/>
  <c r="E29" i="1"/>
  <c r="F28" i="1"/>
  <c r="E28" i="1"/>
  <c r="F27" i="1"/>
  <c r="E27" i="1"/>
  <c r="F26" i="1"/>
  <c r="E26" i="1"/>
</calcChain>
</file>

<file path=xl/sharedStrings.xml><?xml version="1.0" encoding="utf-8"?>
<sst xmlns="http://schemas.openxmlformats.org/spreadsheetml/2006/main" count="549" uniqueCount="170">
  <si>
    <t>Evaluation Ranges</t>
  </si>
  <si>
    <t>Measurement Parameters</t>
  </si>
  <si>
    <t>Quantitative Measures</t>
  </si>
  <si>
    <t>Qualitative Scoring</t>
  </si>
  <si>
    <t>Weightings 
(By Dimension)</t>
  </si>
  <si>
    <t>Weighted Scores</t>
  </si>
  <si>
    <t>Overall Assessment (By Dimension)</t>
  </si>
  <si>
    <t>Description</t>
  </si>
  <si>
    <t>Units</t>
  </si>
  <si>
    <t>Mission success rate</t>
  </si>
  <si>
    <t>%</t>
  </si>
  <si>
    <t>90 - 94</t>
  </si>
  <si>
    <t>80 - 89</t>
  </si>
  <si>
    <t>Path optimality</t>
  </si>
  <si>
    <t>&gt;115</t>
  </si>
  <si>
    <t>Planning latency</t>
  </si>
  <si>
    <t>ms</t>
  </si>
  <si>
    <t>Replanning responsiveness</t>
  </si>
  <si>
    <t>Hz</t>
  </si>
  <si>
    <t>&lt;=40</t>
  </si>
  <si>
    <t>40 - 60</t>
  </si>
  <si>
    <t>61 - 80</t>
  </si>
  <si>
    <t>&gt;80</t>
  </si>
  <si>
    <t>Path smoothness</t>
  </si>
  <si>
    <t>rad/m</t>
  </si>
  <si>
    <t>0.1 - 0.2</t>
  </si>
  <si>
    <t>Min obstacle clearance</t>
  </si>
  <si>
    <t>meters</t>
  </si>
  <si>
    <t>&gt;=2</t>
  </si>
  <si>
    <t>1.5 - 1.99</t>
  </si>
  <si>
    <t>1.0 - 1.49</t>
  </si>
  <si>
    <t>&lt;1.0</t>
  </si>
  <si>
    <t>LEGEND</t>
  </si>
  <si>
    <t>Extremely well-suited to system objectives</t>
  </si>
  <si>
    <t>Meets/exceeds basic system needs</t>
  </si>
  <si>
    <t>Potential value, but likely unacceptable</t>
  </si>
  <si>
    <t>Clearly unacceptable to meet system objectives</t>
  </si>
  <si>
    <t>Obstacle detection rate</t>
  </si>
  <si>
    <t>Reaction time</t>
  </si>
  <si>
    <t>&lt;=50</t>
  </si>
  <si>
    <t>51 - 100</t>
  </si>
  <si>
    <t>101 - 200</t>
  </si>
  <si>
    <t>&gt;200</t>
  </si>
  <si>
    <t>Collision rate</t>
  </si>
  <si>
    <t>&lt;=1</t>
  </si>
  <si>
    <t>1 - 3</t>
  </si>
  <si>
    <t>4 - 6</t>
  </si>
  <si>
    <t>&gt;6</t>
  </si>
  <si>
    <t>&lt;=5</t>
  </si>
  <si>
    <t>6 - 10</t>
  </si>
  <si>
    <t>10 - 20</t>
  </si>
  <si>
    <t>&gt;20</t>
  </si>
  <si>
    <t>Computational load</t>
  </si>
  <si>
    <t>60 - 80</t>
  </si>
  <si>
    <t xml:space="preserve"> &gt;=90</t>
  </si>
  <si>
    <t>60 - 79</t>
  </si>
  <si>
    <t xml:space="preserve"> &lt;60</t>
  </si>
  <si>
    <t>qualitative</t>
  </si>
  <si>
    <t>Depth accuracy @4m</t>
  </si>
  <si>
    <t>1 - 2</t>
  </si>
  <si>
    <t>2 - 5</t>
  </si>
  <si>
    <t>&gt;5</t>
  </si>
  <si>
    <t>Usable depth range</t>
  </si>
  <si>
    <t>m</t>
  </si>
  <si>
    <t>0.3 - 12</t>
  </si>
  <si>
    <t xml:space="preserve"> &gt;=15</t>
  </si>
  <si>
    <t>10 - 14.9</t>
  </si>
  <si>
    <t>6 - 9.9</t>
  </si>
  <si>
    <t xml:space="preserve"> &lt;6</t>
  </si>
  <si>
    <t>Depth pipeline latency</t>
  </si>
  <si>
    <t>Depth frame rate @720</t>
  </si>
  <si>
    <t xml:space="preserve"> &gt;=60</t>
  </si>
  <si>
    <t>30 - 59</t>
  </si>
  <si>
    <t>15 - 29</t>
  </si>
  <si>
    <t xml:space="preserve"> &lt;15</t>
  </si>
  <si>
    <t>Outdoor/Sunlight robustness</t>
  </si>
  <si>
    <t>Power consumption</t>
  </si>
  <si>
    <t xml:space="preserve">W </t>
  </si>
  <si>
    <t>&lt;=2.5</t>
  </si>
  <si>
    <t>2.5 - 5</t>
  </si>
  <si>
    <t>5 - 9</t>
  </si>
  <si>
    <t>&gt;9</t>
  </si>
  <si>
    <t>Shutter</t>
  </si>
  <si>
    <t>enum</t>
  </si>
  <si>
    <t>Rolling (mitigated)</t>
  </si>
  <si>
    <t>Global</t>
  </si>
  <si>
    <t>Global-reset</t>
  </si>
  <si>
    <t>Rolling no mitigation</t>
  </si>
  <si>
    <t>Perception Trade Study Evaluation Matrix for: Intel realsense d455 camera</t>
  </si>
  <si>
    <t>Perception Trade Study Evaluation Matrix for: Zed X Stereo Camera</t>
  </si>
  <si>
    <t>VLP-16 LiDAR compatability</t>
  </si>
  <si>
    <t>SDK Fusion</t>
  </si>
  <si>
    <t>Manual ROS fusion</t>
  </si>
  <si>
    <t>Incompatible</t>
  </si>
  <si>
    <t>Full Native</t>
  </si>
  <si>
    <t>88 - 93</t>
  </si>
  <si>
    <t>&gt;=95</t>
  </si>
  <si>
    <t>&lt;80</t>
  </si>
  <si>
    <t>101 - 104</t>
  </si>
  <si>
    <t>&lt;=102</t>
  </si>
  <si>
    <t>103 - 108</t>
  </si>
  <si>
    <t>109 - 115</t>
  </si>
  <si>
    <t>150 - 400</t>
  </si>
  <si>
    <t>&lt;=200</t>
  </si>
  <si>
    <t>201 - 500</t>
  </si>
  <si>
    <t>501 - 1000</t>
  </si>
  <si>
    <t>&gt;1000</t>
  </si>
  <si>
    <t>0.3 - 1.0</t>
  </si>
  <si>
    <t>1 - 1.9</t>
  </si>
  <si>
    <t>0.5 - 0.9</t>
  </si>
  <si>
    <t>&lt;0.5</t>
  </si>
  <si>
    <t>Resource usage (CPU &amp; Mem)</t>
  </si>
  <si>
    <t>35 - 55</t>
  </si>
  <si>
    <t>0.15 - 0.25</t>
  </si>
  <si>
    <t>&lt;0.1</t>
  </si>
  <si>
    <t>0.2 - 0.4</t>
  </si>
  <si>
    <t>&gt;0.4</t>
  </si>
  <si>
    <t>1.2 - 1.8</t>
  </si>
  <si>
    <t>3D environment support</t>
  </si>
  <si>
    <t>bool</t>
  </si>
  <si>
    <t>Ext. to 3D</t>
  </si>
  <si>
    <t>Native 3D</t>
  </si>
  <si>
    <t>Partial 3D</t>
  </si>
  <si>
    <t>2D only</t>
  </si>
  <si>
    <t>Path Planning Trade Study Evaluation Matrix for: Graph-Based Architecture (A*, D*, Dijkstra variants)</t>
  </si>
  <si>
    <t>91 - 96</t>
  </si>
  <si>
    <t>102 - 106</t>
  </si>
  <si>
    <t>500 - 1200</t>
  </si>
  <si>
    <t>0.5 - 1.5</t>
  </si>
  <si>
    <t>45 - 70</t>
  </si>
  <si>
    <t>0.2 - 0.35</t>
  </si>
  <si>
    <t>1.5 - 2.2</t>
  </si>
  <si>
    <t>Path Planning Trade Study Evaluation Matrix for: Sampling-Based Architecture (RRT*, PRM variants)</t>
  </si>
  <si>
    <t>Path Planning Trade Study Evaluation Matrix for: Hybrid Architecture (Global Graph + Local Optimizer)</t>
  </si>
  <si>
    <t>93 - 97</t>
  </si>
  <si>
    <t>100 - 103</t>
  </si>
  <si>
    <t>200 - 600</t>
  </si>
  <si>
    <t>1.5 - 3.0</t>
  </si>
  <si>
    <t>50 - 75</t>
  </si>
  <si>
    <t>0.05 - 0.15</t>
  </si>
  <si>
    <t>1.7 - 2.5</t>
  </si>
  <si>
    <t>Object Avoidance Trade Study Evaluation Matrix for: Reactive Architecture (VFH, APF, DWA)</t>
  </si>
  <si>
    <t>88 - 92</t>
  </si>
  <si>
    <t>10 - 30</t>
  </si>
  <si>
    <t>Path deviation from planned</t>
  </si>
  <si>
    <t>8 - 15</t>
  </si>
  <si>
    <t>15 - 35</t>
  </si>
  <si>
    <t>Robustness (dynamic env.)</t>
  </si>
  <si>
    <t>70 - 80</t>
  </si>
  <si>
    <t>&gt;=90</t>
  </si>
  <si>
    <t>&lt;60</t>
  </si>
  <si>
    <t>Scalability with obstacle density</t>
  </si>
  <si>
    <t>Fair-Good</t>
  </si>
  <si>
    <t>Excellent</t>
  </si>
  <si>
    <t>Good</t>
  </si>
  <si>
    <t>Fair</t>
  </si>
  <si>
    <t>Poor</t>
  </si>
  <si>
    <t>Object Avoidance Trade Study Evaluation Matrix for: Trajectory Optimization Architecture (TEB, MPPI, EGO-Planner class)</t>
  </si>
  <si>
    <t>90 - 95</t>
  </si>
  <si>
    <t>20 - 80</t>
  </si>
  <si>
    <t>3 - 8</t>
  </si>
  <si>
    <t>50 - 80</t>
  </si>
  <si>
    <t>80 - 90</t>
  </si>
  <si>
    <t>85 - 96</t>
  </si>
  <si>
    <t>5 - 50</t>
  </si>
  <si>
    <t>1 - 4</t>
  </si>
  <si>
    <t>5 - 20</t>
  </si>
  <si>
    <t>60 - 90</t>
  </si>
  <si>
    <t>75 - 92</t>
  </si>
  <si>
    <t>Object Avoidance Trade Study Evaluation Matrix for: Learning-Based Architecture (RL / Neural Reactive Policies)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</si>
</sst>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Aptos Narrow"/>
      <family val="2"/>
      <scheme val="minor"/>
    </font>
    <font>
      <b/>
      <i/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8" borderId="0" xfId="0" applyFill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0" xfId="0" applyFont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1">
    <cellStyle name="Normal" xfId="0" builtinId="0"/>
  </cellStyles>
  <dxfs count="4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csupomona-my.sharepoint.com/Users/changwemusonda/Downloads/Trade%20Study%20Template.xlsx" TargetMode="External"/><Relationship Id="rId1" Type="http://schemas.openxmlformats.org/officeDocument/2006/relationships/externalLinkPath" Target="https://livecsupomona-my.sharepoint.com/Users/changwemusonda/Downloads/Trade%20Study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sign 1"/>
      <sheetName val="Design 2"/>
      <sheetName val="Example"/>
      <sheetName val="Instructions"/>
    </sheetNames>
    <sheetDataSet>
      <sheetData sheetId="0" refreshError="1">
        <row r="3">
          <cell r="C3">
            <v>2.5</v>
          </cell>
          <cell r="D3" t="str">
            <v>Extremely well-suited to system objectives</v>
          </cell>
        </row>
        <row r="4">
          <cell r="C4">
            <v>2</v>
          </cell>
          <cell r="D4" t="str">
            <v>Meets/exceeds basic system needs</v>
          </cell>
        </row>
        <row r="5">
          <cell r="C5">
            <v>1</v>
          </cell>
          <cell r="D5" t="str">
            <v>Potential value, but likely unacceptable</v>
          </cell>
        </row>
        <row r="6">
          <cell r="C6">
            <v>-1</v>
          </cell>
          <cell r="D6" t="str">
            <v>Clearly unacceptable to meet system objectives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612F-3DD0-FD4D-B3E6-489EF9FCA899}">
  <dimension ref="A1:N29"/>
  <sheetViews>
    <sheetView zoomScale="94" workbookViewId="0">
      <selection sqref="A1:H1"/>
    </sheetView>
  </sheetViews>
  <sheetFormatPr baseColWidth="10" defaultColWidth="17" defaultRowHeight="15" customHeight="1" x14ac:dyDescent="0.2"/>
  <cols>
    <col min="1" max="16384" width="17" style="33"/>
  </cols>
  <sheetData>
    <row r="1" spans="1:14" ht="16" customHeight="1" x14ac:dyDescent="0.2">
      <c r="A1" s="44" t="s">
        <v>124</v>
      </c>
      <c r="B1" s="44"/>
      <c r="C1" s="44"/>
      <c r="D1" s="44"/>
      <c r="E1" s="44"/>
      <c r="F1" s="44"/>
      <c r="G1" s="44"/>
      <c r="H1" s="44"/>
      <c r="I1" s="30"/>
      <c r="J1" s="42" t="s">
        <v>0</v>
      </c>
      <c r="K1" s="43"/>
      <c r="L1" s="34"/>
    </row>
    <row r="2" spans="1:14" ht="15.75" customHeight="1" x14ac:dyDescent="0.2">
      <c r="A2" s="45" t="s">
        <v>1</v>
      </c>
      <c r="B2" s="46"/>
      <c r="C2" s="47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39">
        <v>2.5</v>
      </c>
      <c r="J2" s="58">
        <v>2</v>
      </c>
      <c r="K2" s="59">
        <v>1</v>
      </c>
      <c r="L2" s="60">
        <v>-1</v>
      </c>
      <c r="M2" s="1"/>
      <c r="N2" s="1"/>
    </row>
    <row r="3" spans="1:14" ht="16" x14ac:dyDescent="0.2">
      <c r="A3" s="48"/>
      <c r="B3" s="49"/>
      <c r="C3" s="50"/>
      <c r="D3" s="54"/>
      <c r="E3" s="54"/>
      <c r="F3" s="54"/>
      <c r="G3" s="54"/>
      <c r="H3" s="56"/>
      <c r="I3" s="39"/>
      <c r="J3" s="58"/>
      <c r="K3" s="59"/>
      <c r="L3" s="60"/>
      <c r="M3" s="2"/>
      <c r="N3" s="2"/>
    </row>
    <row r="4" spans="1:14" ht="16" x14ac:dyDescent="0.2">
      <c r="A4" s="51" t="s">
        <v>7</v>
      </c>
      <c r="B4" s="52"/>
      <c r="C4" s="21" t="s">
        <v>8</v>
      </c>
      <c r="D4" s="54"/>
      <c r="E4" s="54"/>
      <c r="F4" s="54"/>
      <c r="G4" s="54"/>
      <c r="H4" s="56"/>
      <c r="I4" s="39"/>
      <c r="J4" s="58"/>
      <c r="K4" s="59"/>
      <c r="L4" s="60"/>
      <c r="M4" s="2"/>
      <c r="N4" s="2"/>
    </row>
    <row r="5" spans="1:14" ht="16" x14ac:dyDescent="0.2">
      <c r="A5" s="41" t="s">
        <v>9</v>
      </c>
      <c r="B5" s="41"/>
      <c r="C5" s="33" t="s">
        <v>10</v>
      </c>
      <c r="D5" s="33" t="s">
        <v>95</v>
      </c>
      <c r="E5" s="35">
        <v>2</v>
      </c>
      <c r="F5" s="33">
        <v>0.25</v>
      </c>
      <c r="G5" s="33">
        <f t="shared" ref="G5:G12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5"/>
      <c r="N5" s="5"/>
    </row>
    <row r="6" spans="1:14" ht="16" x14ac:dyDescent="0.2">
      <c r="A6" s="41" t="s">
        <v>13</v>
      </c>
      <c r="B6" s="41"/>
      <c r="C6" s="33" t="s">
        <v>10</v>
      </c>
      <c r="D6" s="33" t="s">
        <v>98</v>
      </c>
      <c r="E6" s="35">
        <v>2</v>
      </c>
      <c r="F6" s="33">
        <v>0.1</v>
      </c>
      <c r="G6" s="33">
        <f t="shared" si="0"/>
        <v>0.2</v>
      </c>
      <c r="I6" s="33" t="s">
        <v>99</v>
      </c>
      <c r="J6" s="33" t="s">
        <v>100</v>
      </c>
      <c r="K6" s="33" t="s">
        <v>101</v>
      </c>
      <c r="L6" s="33" t="s">
        <v>14</v>
      </c>
      <c r="M6" s="5"/>
      <c r="N6" s="5"/>
    </row>
    <row r="7" spans="1:14" ht="16" x14ac:dyDescent="0.2">
      <c r="A7" s="41" t="s">
        <v>15</v>
      </c>
      <c r="B7" s="41"/>
      <c r="C7" s="33" t="s">
        <v>16</v>
      </c>
      <c r="D7" s="33" t="s">
        <v>102</v>
      </c>
      <c r="E7" s="35">
        <v>2</v>
      </c>
      <c r="F7" s="33">
        <v>0.15</v>
      </c>
      <c r="G7" s="33">
        <f t="shared" si="0"/>
        <v>0.3</v>
      </c>
      <c r="I7" s="33" t="s">
        <v>103</v>
      </c>
      <c r="J7" s="33" t="s">
        <v>104</v>
      </c>
      <c r="K7" s="33" t="s">
        <v>105</v>
      </c>
      <c r="L7" s="33" t="s">
        <v>106</v>
      </c>
      <c r="M7" s="11"/>
      <c r="N7" s="11"/>
    </row>
    <row r="8" spans="1:14" ht="16" x14ac:dyDescent="0.2">
      <c r="A8" s="41" t="s">
        <v>17</v>
      </c>
      <c r="B8" s="41"/>
      <c r="C8" s="33" t="s">
        <v>18</v>
      </c>
      <c r="D8" s="33" t="s">
        <v>107</v>
      </c>
      <c r="E8" s="36">
        <v>1</v>
      </c>
      <c r="F8" s="33">
        <v>0.15</v>
      </c>
      <c r="G8" s="33">
        <f t="shared" si="0"/>
        <v>0.15</v>
      </c>
      <c r="I8" s="33" t="s">
        <v>28</v>
      </c>
      <c r="J8" s="33" t="s">
        <v>108</v>
      </c>
      <c r="K8" s="33" t="s">
        <v>109</v>
      </c>
      <c r="L8" s="33" t="s">
        <v>110</v>
      </c>
      <c r="M8" s="5"/>
      <c r="N8" s="5"/>
    </row>
    <row r="9" spans="1:14" ht="16" x14ac:dyDescent="0.2">
      <c r="A9" s="41" t="s">
        <v>111</v>
      </c>
      <c r="B9" s="41"/>
      <c r="C9" s="33" t="s">
        <v>10</v>
      </c>
      <c r="D9" s="33" t="s">
        <v>112</v>
      </c>
      <c r="E9" s="35">
        <v>2</v>
      </c>
      <c r="F9" s="33">
        <v>0.05</v>
      </c>
      <c r="G9" s="33">
        <f t="shared" si="0"/>
        <v>0.1</v>
      </c>
      <c r="H9" s="36">
        <f>SUM(G5:G12)</f>
        <v>1.85</v>
      </c>
      <c r="I9" s="33" t="s">
        <v>19</v>
      </c>
      <c r="J9" s="33" t="s">
        <v>20</v>
      </c>
      <c r="K9" s="33" t="s">
        <v>21</v>
      </c>
      <c r="L9" s="33" t="s">
        <v>22</v>
      </c>
      <c r="M9" s="5"/>
      <c r="N9" s="5"/>
    </row>
    <row r="10" spans="1:14" ht="16" x14ac:dyDescent="0.2">
      <c r="A10" s="41" t="s">
        <v>23</v>
      </c>
      <c r="B10" s="41"/>
      <c r="C10" s="33" t="s">
        <v>24</v>
      </c>
      <c r="D10" s="33" t="s">
        <v>113</v>
      </c>
      <c r="E10" s="35">
        <v>2</v>
      </c>
      <c r="F10" s="33">
        <v>0.1</v>
      </c>
      <c r="G10" s="33">
        <f t="shared" si="0"/>
        <v>0.2</v>
      </c>
      <c r="I10" s="33" t="s">
        <v>114</v>
      </c>
      <c r="J10" s="33" t="s">
        <v>25</v>
      </c>
      <c r="K10" s="33" t="s">
        <v>115</v>
      </c>
      <c r="L10" s="33" t="s">
        <v>116</v>
      </c>
      <c r="M10" s="5"/>
      <c r="N10" s="5"/>
    </row>
    <row r="11" spans="1:14" ht="16" x14ac:dyDescent="0.2">
      <c r="A11" s="41" t="s">
        <v>26</v>
      </c>
      <c r="B11" s="41"/>
      <c r="C11" s="33" t="s">
        <v>27</v>
      </c>
      <c r="D11" s="33" t="s">
        <v>117</v>
      </c>
      <c r="E11" s="35">
        <v>2</v>
      </c>
      <c r="F11" s="33">
        <v>0.15</v>
      </c>
      <c r="G11" s="33">
        <f t="shared" si="0"/>
        <v>0.3</v>
      </c>
      <c r="I11" s="33" t="s">
        <v>28</v>
      </c>
      <c r="J11" s="33" t="s">
        <v>29</v>
      </c>
      <c r="K11" s="33" t="s">
        <v>30</v>
      </c>
      <c r="L11" s="33" t="s">
        <v>31</v>
      </c>
      <c r="M11" s="5"/>
      <c r="N11" s="5"/>
    </row>
    <row r="12" spans="1:14" ht="16" x14ac:dyDescent="0.2">
      <c r="A12" s="41" t="s">
        <v>118</v>
      </c>
      <c r="B12" s="41"/>
      <c r="C12" s="33" t="s">
        <v>119</v>
      </c>
      <c r="D12" s="33" t="s">
        <v>120</v>
      </c>
      <c r="E12" s="35">
        <v>2</v>
      </c>
      <c r="F12" s="33">
        <v>0.05</v>
      </c>
      <c r="G12" s="33">
        <f t="shared" si="0"/>
        <v>0.1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2"/>
      <c r="N12" s="2"/>
    </row>
    <row r="13" spans="1:14" ht="16" x14ac:dyDescent="0.2">
      <c r="A13" s="40"/>
      <c r="B13" s="41"/>
      <c r="C13" s="5"/>
      <c r="D13" s="2"/>
      <c r="E13" s="1"/>
      <c r="F13" s="37"/>
      <c r="G13" s="2"/>
      <c r="H13" s="2"/>
      <c r="I13" s="2"/>
      <c r="K13" s="2"/>
      <c r="L13" s="2"/>
      <c r="M13" s="2"/>
      <c r="N13" s="2"/>
    </row>
    <row r="14" spans="1:14" ht="16" x14ac:dyDescent="0.2">
      <c r="A14" s="40"/>
      <c r="B14" s="41"/>
      <c r="C14" s="5"/>
      <c r="D14" s="2"/>
      <c r="E14" s="1"/>
      <c r="F14" s="37"/>
      <c r="G14" s="2"/>
      <c r="H14" s="2"/>
      <c r="I14" s="2"/>
      <c r="K14" s="2"/>
      <c r="L14" s="2"/>
      <c r="M14" s="2"/>
      <c r="N14" s="2"/>
    </row>
    <row r="15" spans="1:14" ht="16" x14ac:dyDescent="0.2">
      <c r="A15" s="40"/>
      <c r="B15" s="41"/>
      <c r="C15" s="2"/>
      <c r="D15" s="2"/>
      <c r="E15" s="1"/>
      <c r="F15" s="37"/>
      <c r="G15" s="2"/>
      <c r="H15" s="2"/>
      <c r="I15" s="2"/>
      <c r="K15" s="2"/>
      <c r="L15" s="2"/>
      <c r="M15" s="2"/>
      <c r="N15" s="2"/>
    </row>
    <row r="16" spans="1:14" ht="16" x14ac:dyDescent="0.2">
      <c r="A16" s="40"/>
      <c r="B16" s="41"/>
      <c r="C16" s="2"/>
      <c r="D16" s="2"/>
      <c r="E16" s="1"/>
      <c r="F16" s="37"/>
      <c r="G16" s="2"/>
      <c r="H16" s="1"/>
      <c r="I16" s="2"/>
      <c r="K16" s="2"/>
      <c r="L16" s="2"/>
      <c r="M16" s="2"/>
      <c r="N16" s="2"/>
    </row>
    <row r="17" spans="1:14" ht="16" x14ac:dyDescent="0.2">
      <c r="A17" s="40"/>
      <c r="B17" s="41"/>
      <c r="C17" s="2"/>
      <c r="D17" s="2"/>
      <c r="E17" s="1"/>
      <c r="F17" s="37"/>
      <c r="G17" s="2"/>
      <c r="H17" s="2"/>
      <c r="I17" s="2"/>
      <c r="J17" s="37"/>
      <c r="K17" s="2"/>
      <c r="L17" s="2"/>
      <c r="M17" s="2"/>
      <c r="N17" s="2"/>
    </row>
    <row r="18" spans="1:14" ht="16" x14ac:dyDescent="0.2">
      <c r="A18" s="57"/>
      <c r="B18" s="41"/>
      <c r="C18" s="2"/>
      <c r="D18" s="2"/>
      <c r="E18" s="2"/>
      <c r="F18" s="2"/>
      <c r="G18" s="2"/>
      <c r="H18" s="2"/>
      <c r="K18" s="2"/>
      <c r="L18" s="2"/>
      <c r="M18" s="2"/>
      <c r="N18" s="2"/>
    </row>
    <row r="19" spans="1:14" ht="16" x14ac:dyDescent="0.2">
      <c r="A19" s="40"/>
      <c r="B19" s="41"/>
      <c r="C19" s="2"/>
      <c r="D19" s="2"/>
      <c r="E19" s="1"/>
      <c r="F19" s="37"/>
      <c r="G19" s="2"/>
      <c r="H19" s="2"/>
      <c r="I19" s="2"/>
      <c r="K19" s="2"/>
      <c r="L19" s="6"/>
      <c r="M19" s="6"/>
      <c r="N19" s="2"/>
    </row>
    <row r="20" spans="1:14" ht="16" x14ac:dyDescent="0.2">
      <c r="A20" s="40"/>
      <c r="B20" s="41"/>
      <c r="C20" s="2"/>
      <c r="D20" s="2"/>
      <c r="E20" s="1"/>
      <c r="F20" s="37"/>
      <c r="G20" s="2"/>
      <c r="H20" s="2"/>
      <c r="I20" s="2"/>
      <c r="K20" s="2"/>
      <c r="L20" s="2"/>
      <c r="M20" s="2"/>
      <c r="N20" s="2"/>
    </row>
    <row r="21" spans="1:14" ht="16" x14ac:dyDescent="0.2">
      <c r="A21" s="40"/>
      <c r="B21" s="41"/>
      <c r="C21" s="2"/>
      <c r="D21" s="5"/>
      <c r="E21" s="1"/>
      <c r="F21" s="37"/>
      <c r="G21" s="2"/>
      <c r="H21" s="1"/>
      <c r="I21" s="2"/>
      <c r="K21" s="2"/>
      <c r="L21" s="2"/>
      <c r="M21" s="2"/>
      <c r="N21" s="2"/>
    </row>
    <row r="22" spans="1:14" ht="16" x14ac:dyDescent="0.2">
      <c r="A22" s="40"/>
      <c r="B22" s="41"/>
      <c r="C22" s="2"/>
      <c r="D22" s="2"/>
      <c r="E22" s="1"/>
      <c r="F22" s="37"/>
      <c r="G22" s="2"/>
      <c r="H22" s="2"/>
      <c r="I22" s="2"/>
      <c r="K22" s="2"/>
      <c r="L22" s="2"/>
      <c r="M22" s="2"/>
      <c r="N22" s="2"/>
    </row>
    <row r="23" spans="1:14" ht="16" x14ac:dyDescent="0.2">
      <c r="A23" s="40"/>
      <c r="B23" s="41"/>
      <c r="C23" s="2"/>
      <c r="D23" s="2"/>
      <c r="E23" s="1"/>
      <c r="F23" s="37"/>
      <c r="G23" s="2"/>
      <c r="H23" s="2"/>
      <c r="I23" s="2"/>
      <c r="K23" s="2"/>
      <c r="L23" s="2"/>
      <c r="M23" s="2"/>
      <c r="N23" s="2"/>
    </row>
    <row r="24" spans="1:14" ht="16" x14ac:dyDescent="0.2">
      <c r="A24" s="40"/>
      <c r="B24" s="41"/>
      <c r="C24" s="2"/>
      <c r="D24" s="2"/>
      <c r="E24" s="1"/>
      <c r="F24" s="37"/>
      <c r="G24" s="2"/>
      <c r="H24" s="2"/>
      <c r="I24" s="2"/>
      <c r="J24" s="37"/>
      <c r="K24" s="2"/>
      <c r="L24" s="2"/>
      <c r="M24" s="2"/>
      <c r="N24" s="2"/>
    </row>
    <row r="25" spans="1:14" ht="16" x14ac:dyDescent="0.2">
      <c r="C25" s="2"/>
      <c r="E25" s="7" t="s">
        <v>32</v>
      </c>
      <c r="F25" s="64" t="s">
        <v>7</v>
      </c>
      <c r="G25" s="62"/>
      <c r="H25" s="63"/>
      <c r="I25" s="1"/>
    </row>
    <row r="26" spans="1:14" ht="16" x14ac:dyDescent="0.2">
      <c r="C26" s="2"/>
      <c r="E26" s="4">
        <f>BLUE</f>
        <v>2.5</v>
      </c>
      <c r="F26" s="65" t="str">
        <f>[1]Summary!D3</f>
        <v>Extremely well-suited to system objectives</v>
      </c>
      <c r="G26" s="41"/>
      <c r="H26" s="66"/>
      <c r="I26" s="2"/>
    </row>
    <row r="27" spans="1:14" ht="16" x14ac:dyDescent="0.2">
      <c r="C27" s="2"/>
      <c r="E27" s="4">
        <f>GREEN</f>
        <v>2</v>
      </c>
      <c r="F27" s="65" t="str">
        <f>[1]Summary!D4</f>
        <v>Meets/exceeds basic system needs</v>
      </c>
      <c r="G27" s="41"/>
      <c r="H27" s="66"/>
      <c r="I27" s="2"/>
    </row>
    <row r="28" spans="1:14" ht="16" x14ac:dyDescent="0.2">
      <c r="C28" s="2"/>
      <c r="E28" s="4">
        <f>YELLOW</f>
        <v>1</v>
      </c>
      <c r="F28" s="65" t="str">
        <f>[1]Summary!D5</f>
        <v>Potential value, but likely unacceptable</v>
      </c>
      <c r="G28" s="41"/>
      <c r="H28" s="66"/>
      <c r="I28" s="2"/>
    </row>
    <row r="29" spans="1:14" ht="16" x14ac:dyDescent="0.2">
      <c r="A29" s="2"/>
      <c r="E29" s="4">
        <f>RED</f>
        <v>-1</v>
      </c>
      <c r="F29" s="61" t="str">
        <f>[1]Summary!D6</f>
        <v>Clearly unacceptable to meet system objectives</v>
      </c>
      <c r="G29" s="62"/>
      <c r="H29" s="63"/>
      <c r="I29" s="2"/>
    </row>
  </sheetData>
  <mergeCells count="38">
    <mergeCell ref="A20:B20"/>
    <mergeCell ref="J2:J4"/>
    <mergeCell ref="K2:K4"/>
    <mergeCell ref="L2:L4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H2:H4"/>
    <mergeCell ref="A16:B16"/>
    <mergeCell ref="A17:B17"/>
    <mergeCell ref="A18:B18"/>
    <mergeCell ref="A19:B19"/>
    <mergeCell ref="A15:B15"/>
    <mergeCell ref="I2:I4"/>
    <mergeCell ref="A21:B21"/>
    <mergeCell ref="J1:K1"/>
    <mergeCell ref="A1:H1"/>
    <mergeCell ref="A10:B10"/>
    <mergeCell ref="A2:C3"/>
    <mergeCell ref="A5:B5"/>
    <mergeCell ref="A6:B6"/>
    <mergeCell ref="A7:B7"/>
    <mergeCell ref="A8:B8"/>
    <mergeCell ref="A9:B9"/>
    <mergeCell ref="A4:B4"/>
    <mergeCell ref="D2:D4"/>
    <mergeCell ref="E2:E4"/>
    <mergeCell ref="F2:F4"/>
    <mergeCell ref="G2:G4"/>
  </mergeCells>
  <conditionalFormatting sqref="E5:E11 H8:H9">
    <cfRule type="cellIs" dxfId="41" priority="1" operator="between">
      <formula>2.5</formula>
      <formula>3</formula>
    </cfRule>
    <cfRule type="cellIs" dxfId="40" priority="2" operator="between">
      <formula>2</formula>
      <formula>2.5</formula>
    </cfRule>
    <cfRule type="cellIs" dxfId="39" priority="3" operator="between">
      <formula>1</formula>
      <formula>2</formula>
    </cfRule>
  </conditionalFormatting>
  <conditionalFormatting sqref="E13:E17 H16 E19:E24 H21 E26:E29">
    <cfRule type="cellIs" dxfId="38" priority="4" operator="between">
      <formula>2.5</formula>
      <formula>3</formula>
    </cfRule>
    <cfRule type="cellIs" dxfId="37" priority="5" operator="between">
      <formula>2</formula>
      <formula>2.5</formula>
    </cfRule>
    <cfRule type="cellIs" dxfId="36" priority="6" operator="between">
      <formula>1</formula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030A-8F00-1141-A750-42FEA56FFF5C}">
  <dimension ref="A1:N29"/>
  <sheetViews>
    <sheetView zoomScale="80" zoomScaleNormal="80" workbookViewId="0">
      <selection sqref="A1:H1"/>
    </sheetView>
  </sheetViews>
  <sheetFormatPr baseColWidth="10" defaultColWidth="16.33203125" defaultRowHeight="15" customHeight="1" x14ac:dyDescent="0.2"/>
  <cols>
    <col min="1" max="16384" width="16.33203125" style="33"/>
  </cols>
  <sheetData>
    <row r="1" spans="1:14" ht="16" customHeight="1" x14ac:dyDescent="0.2">
      <c r="A1" s="44" t="s">
        <v>132</v>
      </c>
      <c r="B1" s="44"/>
      <c r="C1" s="44"/>
      <c r="D1" s="44"/>
      <c r="E1" s="44"/>
      <c r="F1" s="44"/>
      <c r="G1" s="44"/>
      <c r="H1" s="44"/>
      <c r="I1" s="23"/>
      <c r="J1" s="67" t="s">
        <v>0</v>
      </c>
      <c r="K1" s="67"/>
      <c r="L1" s="34"/>
    </row>
    <row r="2" spans="1:14" ht="16" customHeight="1" x14ac:dyDescent="0.2">
      <c r="A2" s="45" t="s">
        <v>1</v>
      </c>
      <c r="B2" s="46"/>
      <c r="C2" s="47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39">
        <v>2.5</v>
      </c>
      <c r="J2" s="58">
        <v>2</v>
      </c>
      <c r="K2" s="59">
        <v>1</v>
      </c>
      <c r="L2" s="60">
        <v>-1</v>
      </c>
      <c r="M2" s="1"/>
      <c r="N2" s="1"/>
    </row>
    <row r="3" spans="1:14" ht="16" customHeight="1" x14ac:dyDescent="0.2">
      <c r="A3" s="48"/>
      <c r="B3" s="49"/>
      <c r="C3" s="50"/>
      <c r="D3" s="54"/>
      <c r="E3" s="54"/>
      <c r="F3" s="54"/>
      <c r="G3" s="54"/>
      <c r="H3" s="56"/>
      <c r="I3" s="39"/>
      <c r="J3" s="58"/>
      <c r="K3" s="59"/>
      <c r="L3" s="60"/>
      <c r="M3" s="2"/>
      <c r="N3" s="2"/>
    </row>
    <row r="4" spans="1:14" ht="16" customHeight="1" x14ac:dyDescent="0.2">
      <c r="A4" s="51" t="s">
        <v>7</v>
      </c>
      <c r="B4" s="52"/>
      <c r="C4" s="21" t="s">
        <v>8</v>
      </c>
      <c r="D4" s="54"/>
      <c r="E4" s="54"/>
      <c r="F4" s="54"/>
      <c r="G4" s="54"/>
      <c r="H4" s="56"/>
      <c r="I4" s="39"/>
      <c r="J4" s="58"/>
      <c r="K4" s="59"/>
      <c r="L4" s="60"/>
      <c r="M4" s="2"/>
      <c r="N4" s="2"/>
    </row>
    <row r="5" spans="1:14" ht="16" customHeight="1" x14ac:dyDescent="0.2">
      <c r="A5" s="41" t="s">
        <v>9</v>
      </c>
      <c r="B5" s="41"/>
      <c r="C5" s="33" t="s">
        <v>10</v>
      </c>
      <c r="D5" s="33" t="s">
        <v>125</v>
      </c>
      <c r="E5" s="35">
        <v>2</v>
      </c>
      <c r="F5" s="33">
        <v>0.25</v>
      </c>
      <c r="G5" s="33">
        <f t="shared" ref="G5:G12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5"/>
      <c r="N5" s="5"/>
    </row>
    <row r="6" spans="1:14" ht="16" customHeight="1" x14ac:dyDescent="0.2">
      <c r="A6" s="41" t="s">
        <v>13</v>
      </c>
      <c r="B6" s="41"/>
      <c r="C6" s="33" t="s">
        <v>10</v>
      </c>
      <c r="D6" s="33" t="s">
        <v>126</v>
      </c>
      <c r="E6" s="35">
        <v>2</v>
      </c>
      <c r="F6" s="33">
        <v>0.1</v>
      </c>
      <c r="G6" s="33">
        <f t="shared" si="0"/>
        <v>0.2</v>
      </c>
      <c r="I6" s="33" t="s">
        <v>99</v>
      </c>
      <c r="J6" s="33" t="s">
        <v>100</v>
      </c>
      <c r="K6" s="33" t="s">
        <v>101</v>
      </c>
      <c r="L6" s="33" t="s">
        <v>14</v>
      </c>
      <c r="M6" s="5"/>
      <c r="N6" s="5"/>
    </row>
    <row r="7" spans="1:14" ht="16" customHeight="1" x14ac:dyDescent="0.2">
      <c r="A7" s="41" t="s">
        <v>15</v>
      </c>
      <c r="B7" s="41"/>
      <c r="C7" s="33" t="s">
        <v>16</v>
      </c>
      <c r="D7" s="33" t="s">
        <v>127</v>
      </c>
      <c r="E7" s="36">
        <v>1</v>
      </c>
      <c r="F7" s="33">
        <v>0.15</v>
      </c>
      <c r="G7" s="33">
        <f t="shared" si="0"/>
        <v>0.15</v>
      </c>
      <c r="I7" s="33" t="s">
        <v>103</v>
      </c>
      <c r="J7" s="33" t="s">
        <v>104</v>
      </c>
      <c r="K7" s="33" t="s">
        <v>105</v>
      </c>
      <c r="L7" s="33" t="s">
        <v>106</v>
      </c>
      <c r="M7" s="11"/>
      <c r="N7" s="11"/>
    </row>
    <row r="8" spans="1:14" ht="16" customHeight="1" x14ac:dyDescent="0.2">
      <c r="A8" s="41" t="s">
        <v>17</v>
      </c>
      <c r="B8" s="41"/>
      <c r="C8" s="33" t="s">
        <v>18</v>
      </c>
      <c r="D8" s="33" t="s">
        <v>128</v>
      </c>
      <c r="E8" s="36">
        <v>1</v>
      </c>
      <c r="F8" s="33">
        <v>0.15</v>
      </c>
      <c r="G8" s="33">
        <f t="shared" si="0"/>
        <v>0.15</v>
      </c>
      <c r="I8" s="33" t="s">
        <v>28</v>
      </c>
      <c r="J8" s="33" t="s">
        <v>108</v>
      </c>
      <c r="K8" s="33" t="s">
        <v>109</v>
      </c>
      <c r="L8" s="33" t="s">
        <v>110</v>
      </c>
      <c r="M8" s="5"/>
      <c r="N8" s="5"/>
    </row>
    <row r="9" spans="1:14" ht="16" customHeight="1" x14ac:dyDescent="0.2">
      <c r="A9" s="41" t="s">
        <v>111</v>
      </c>
      <c r="B9" s="41"/>
      <c r="C9" s="33" t="s">
        <v>10</v>
      </c>
      <c r="D9" s="33" t="s">
        <v>129</v>
      </c>
      <c r="E9" s="36">
        <v>1</v>
      </c>
      <c r="F9" s="33">
        <v>0.05</v>
      </c>
      <c r="G9" s="33">
        <f t="shared" si="0"/>
        <v>0.05</v>
      </c>
      <c r="H9" s="36">
        <f>SUM(G5:G12)</f>
        <v>1.5750000000000002</v>
      </c>
      <c r="I9" s="33" t="s">
        <v>19</v>
      </c>
      <c r="J9" s="33" t="s">
        <v>20</v>
      </c>
      <c r="K9" s="33" t="s">
        <v>21</v>
      </c>
      <c r="L9" s="33" t="s">
        <v>22</v>
      </c>
      <c r="M9" s="5"/>
      <c r="N9" s="5"/>
    </row>
    <row r="10" spans="1:14" ht="16" customHeight="1" x14ac:dyDescent="0.2">
      <c r="A10" s="41" t="s">
        <v>23</v>
      </c>
      <c r="B10" s="41"/>
      <c r="C10" s="33" t="s">
        <v>24</v>
      </c>
      <c r="D10" s="33" t="s">
        <v>130</v>
      </c>
      <c r="E10" s="36">
        <v>1</v>
      </c>
      <c r="F10" s="33">
        <v>0.1</v>
      </c>
      <c r="G10" s="33">
        <f t="shared" si="0"/>
        <v>0.1</v>
      </c>
      <c r="I10" s="33" t="s">
        <v>114</v>
      </c>
      <c r="J10" s="33" t="s">
        <v>25</v>
      </c>
      <c r="K10" s="33" t="s">
        <v>115</v>
      </c>
      <c r="L10" s="33" t="s">
        <v>116</v>
      </c>
      <c r="M10" s="5"/>
      <c r="N10" s="5"/>
    </row>
    <row r="11" spans="1:14" ht="16" customHeight="1" x14ac:dyDescent="0.2">
      <c r="A11" s="41" t="s">
        <v>26</v>
      </c>
      <c r="B11" s="41"/>
      <c r="C11" s="33" t="s">
        <v>27</v>
      </c>
      <c r="D11" s="33" t="s">
        <v>131</v>
      </c>
      <c r="E11" s="35">
        <v>2</v>
      </c>
      <c r="F11" s="33">
        <v>0.15</v>
      </c>
      <c r="G11" s="33">
        <f t="shared" si="0"/>
        <v>0.3</v>
      </c>
      <c r="I11" s="33" t="s">
        <v>28</v>
      </c>
      <c r="J11" s="33" t="s">
        <v>29</v>
      </c>
      <c r="K11" s="33" t="s">
        <v>30</v>
      </c>
      <c r="L11" s="33" t="s">
        <v>31</v>
      </c>
      <c r="M11" s="5"/>
      <c r="N11" s="5"/>
    </row>
    <row r="12" spans="1:14" ht="16" x14ac:dyDescent="0.2">
      <c r="A12" s="41" t="s">
        <v>118</v>
      </c>
      <c r="B12" s="41"/>
      <c r="C12" s="33" t="s">
        <v>119</v>
      </c>
      <c r="D12" s="33" t="s">
        <v>121</v>
      </c>
      <c r="E12" s="38">
        <v>2.5</v>
      </c>
      <c r="F12" s="33">
        <v>0.05</v>
      </c>
      <c r="G12" s="33">
        <f t="shared" si="0"/>
        <v>0.125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2"/>
      <c r="N12" s="2"/>
    </row>
    <row r="13" spans="1:14" ht="16" x14ac:dyDescent="0.2">
      <c r="A13" s="40"/>
      <c r="B13" s="41"/>
      <c r="C13" s="5"/>
      <c r="D13" s="2"/>
      <c r="E13" s="1"/>
      <c r="F13" s="37"/>
      <c r="G13" s="2"/>
      <c r="H13" s="2"/>
      <c r="I13" s="2"/>
      <c r="K13" s="2"/>
      <c r="L13" s="2"/>
      <c r="M13" s="2"/>
      <c r="N13" s="2"/>
    </row>
    <row r="14" spans="1:14" ht="16" x14ac:dyDescent="0.2">
      <c r="A14" s="40"/>
      <c r="B14" s="41"/>
      <c r="C14" s="5"/>
      <c r="D14" s="2"/>
      <c r="E14" s="1"/>
      <c r="F14" s="37"/>
      <c r="G14" s="2"/>
      <c r="H14" s="2"/>
      <c r="I14" s="2"/>
      <c r="K14" s="2"/>
      <c r="L14" s="2"/>
      <c r="M14" s="2"/>
      <c r="N14" s="2"/>
    </row>
    <row r="15" spans="1:14" ht="16" x14ac:dyDescent="0.2">
      <c r="A15" s="40"/>
      <c r="B15" s="41"/>
      <c r="C15" s="2"/>
      <c r="D15" s="2"/>
      <c r="E15" s="1"/>
      <c r="F15" s="37"/>
      <c r="G15" s="2"/>
      <c r="H15" s="2"/>
      <c r="I15" s="2"/>
      <c r="K15" s="2"/>
      <c r="L15" s="2"/>
      <c r="M15" s="2"/>
      <c r="N15" s="2"/>
    </row>
    <row r="16" spans="1:14" ht="16" x14ac:dyDescent="0.2">
      <c r="A16" s="40"/>
      <c r="B16" s="41"/>
      <c r="C16" s="2"/>
      <c r="D16" s="2"/>
      <c r="E16" s="1"/>
      <c r="F16" s="37"/>
      <c r="G16" s="2"/>
      <c r="H16" s="1"/>
      <c r="I16" s="2"/>
      <c r="K16" s="2"/>
      <c r="L16" s="2"/>
      <c r="M16" s="2"/>
      <c r="N16" s="2"/>
    </row>
    <row r="17" spans="1:14" ht="16" x14ac:dyDescent="0.2">
      <c r="A17" s="40"/>
      <c r="B17" s="41"/>
      <c r="C17" s="2"/>
      <c r="D17" s="2"/>
      <c r="E17" s="1"/>
      <c r="F17" s="37"/>
      <c r="G17" s="2"/>
      <c r="H17" s="2"/>
      <c r="I17" s="2"/>
      <c r="J17" s="37"/>
      <c r="K17" s="2"/>
      <c r="L17" s="2"/>
      <c r="M17" s="2"/>
      <c r="N17" s="2"/>
    </row>
    <row r="18" spans="1:14" ht="16" x14ac:dyDescent="0.2">
      <c r="A18" s="57"/>
      <c r="B18" s="41"/>
      <c r="C18" s="2"/>
      <c r="D18" s="2"/>
      <c r="E18" s="2"/>
      <c r="F18" s="2"/>
      <c r="G18" s="2"/>
      <c r="H18" s="2"/>
      <c r="K18" s="2"/>
      <c r="L18" s="2"/>
      <c r="M18" s="2"/>
      <c r="N18" s="2"/>
    </row>
    <row r="19" spans="1:14" ht="16" x14ac:dyDescent="0.2">
      <c r="A19" s="40"/>
      <c r="B19" s="41"/>
      <c r="C19" s="2"/>
      <c r="D19" s="2"/>
      <c r="E19" s="1"/>
      <c r="F19" s="37"/>
      <c r="G19" s="2"/>
      <c r="H19" s="2"/>
      <c r="I19" s="2"/>
      <c r="K19" s="2"/>
      <c r="L19" s="6"/>
      <c r="M19" s="6"/>
      <c r="N19" s="2"/>
    </row>
    <row r="20" spans="1:14" ht="16" x14ac:dyDescent="0.2">
      <c r="A20" s="40"/>
      <c r="B20" s="41"/>
      <c r="C20" s="2"/>
      <c r="D20" s="2"/>
      <c r="E20" s="1"/>
      <c r="F20" s="37"/>
      <c r="G20" s="2"/>
      <c r="H20" s="2"/>
      <c r="I20" s="2"/>
      <c r="K20" s="2"/>
      <c r="L20" s="2"/>
      <c r="M20" s="2"/>
      <c r="N20" s="2"/>
    </row>
    <row r="21" spans="1:14" ht="16" x14ac:dyDescent="0.2">
      <c r="A21" s="40"/>
      <c r="B21" s="41"/>
      <c r="C21" s="2"/>
      <c r="D21" s="5"/>
      <c r="E21" s="1"/>
      <c r="F21" s="37"/>
      <c r="G21" s="2"/>
      <c r="H21" s="1"/>
      <c r="I21" s="2"/>
      <c r="K21" s="2"/>
      <c r="L21" s="2"/>
      <c r="M21" s="2"/>
      <c r="N21" s="2"/>
    </row>
    <row r="22" spans="1:14" ht="16" x14ac:dyDescent="0.2">
      <c r="A22" s="40"/>
      <c r="B22" s="41"/>
      <c r="C22" s="2"/>
      <c r="D22" s="2"/>
      <c r="E22" s="1"/>
      <c r="F22" s="37"/>
      <c r="G22" s="2"/>
      <c r="H22" s="2"/>
      <c r="I22" s="2"/>
      <c r="K22" s="2"/>
      <c r="L22" s="2"/>
      <c r="M22" s="2"/>
      <c r="N22" s="2"/>
    </row>
    <row r="23" spans="1:14" ht="16" x14ac:dyDescent="0.2">
      <c r="A23" s="40"/>
      <c r="B23" s="41"/>
      <c r="C23" s="2"/>
      <c r="D23" s="2"/>
      <c r="E23" s="1"/>
      <c r="F23" s="37"/>
      <c r="G23" s="2"/>
      <c r="H23" s="2"/>
      <c r="I23" s="2"/>
      <c r="K23" s="2"/>
      <c r="L23" s="2"/>
      <c r="M23" s="2"/>
      <c r="N23" s="2"/>
    </row>
    <row r="24" spans="1:14" ht="16" x14ac:dyDescent="0.2">
      <c r="A24" s="40"/>
      <c r="B24" s="41"/>
      <c r="C24" s="2"/>
      <c r="D24" s="2"/>
      <c r="E24" s="1"/>
      <c r="F24" s="37"/>
      <c r="G24" s="2"/>
      <c r="H24" s="2"/>
      <c r="I24" s="2"/>
      <c r="J24" s="37"/>
      <c r="K24" s="2"/>
      <c r="L24" s="2"/>
      <c r="M24" s="2"/>
      <c r="N24" s="2"/>
    </row>
    <row r="25" spans="1:14" ht="16" x14ac:dyDescent="0.2">
      <c r="C25" s="2"/>
      <c r="E25" s="7" t="s">
        <v>32</v>
      </c>
      <c r="F25" s="64" t="s">
        <v>7</v>
      </c>
      <c r="G25" s="62"/>
      <c r="H25" s="63"/>
      <c r="I25" s="1"/>
    </row>
    <row r="26" spans="1:14" ht="16" x14ac:dyDescent="0.2">
      <c r="C26" s="2"/>
      <c r="E26" s="4">
        <f>BLUE</f>
        <v>2.5</v>
      </c>
      <c r="F26" s="65" t="str">
        <f>[1]Summary!D3</f>
        <v>Extremely well-suited to system objectives</v>
      </c>
      <c r="G26" s="41"/>
      <c r="H26" s="66"/>
      <c r="I26" s="2"/>
    </row>
    <row r="27" spans="1:14" ht="16" x14ac:dyDescent="0.2">
      <c r="C27" s="2"/>
      <c r="E27" s="4">
        <f>GREEN</f>
        <v>2</v>
      </c>
      <c r="F27" s="65" t="str">
        <f>[1]Summary!D4</f>
        <v>Meets/exceeds basic system needs</v>
      </c>
      <c r="G27" s="41"/>
      <c r="H27" s="66"/>
      <c r="I27" s="2"/>
    </row>
    <row r="28" spans="1:14" ht="16" x14ac:dyDescent="0.2">
      <c r="C28" s="2"/>
      <c r="E28" s="4">
        <f>YELLOW</f>
        <v>1</v>
      </c>
      <c r="F28" s="65" t="str">
        <f>[1]Summary!D5</f>
        <v>Potential value, but likely unacceptable</v>
      </c>
      <c r="G28" s="41"/>
      <c r="H28" s="66"/>
      <c r="I28" s="2"/>
    </row>
    <row r="29" spans="1:14" ht="16" x14ac:dyDescent="0.2">
      <c r="A29" s="2"/>
      <c r="E29" s="4">
        <f>RED</f>
        <v>-1</v>
      </c>
      <c r="F29" s="61" t="str">
        <f>[1]Summary!D6</f>
        <v>Clearly unacceptable to meet system objectives</v>
      </c>
      <c r="G29" s="62"/>
      <c r="H29" s="63"/>
      <c r="I29" s="2"/>
    </row>
  </sheetData>
  <mergeCells count="38">
    <mergeCell ref="A20:B20"/>
    <mergeCell ref="J2:J4"/>
    <mergeCell ref="K2:K4"/>
    <mergeCell ref="L2:L4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H2:H4"/>
    <mergeCell ref="A16:B16"/>
    <mergeCell ref="A17:B17"/>
    <mergeCell ref="A18:B18"/>
    <mergeCell ref="A19:B19"/>
    <mergeCell ref="A15:B15"/>
    <mergeCell ref="I2:I4"/>
    <mergeCell ref="A21:B21"/>
    <mergeCell ref="J1:K1"/>
    <mergeCell ref="A1:H1"/>
    <mergeCell ref="A10:B10"/>
    <mergeCell ref="A2:C3"/>
    <mergeCell ref="A5:B5"/>
    <mergeCell ref="A6:B6"/>
    <mergeCell ref="A7:B7"/>
    <mergeCell ref="A8:B8"/>
    <mergeCell ref="A9:B9"/>
    <mergeCell ref="A4:B4"/>
    <mergeCell ref="D2:D4"/>
    <mergeCell ref="E2:E4"/>
    <mergeCell ref="F2:F4"/>
    <mergeCell ref="G2:G4"/>
  </mergeCells>
  <conditionalFormatting sqref="E5:E11 H8:H9">
    <cfRule type="cellIs" dxfId="35" priority="1" operator="between">
      <formula>2.5</formula>
      <formula>3</formula>
    </cfRule>
    <cfRule type="cellIs" dxfId="34" priority="2" operator="between">
      <formula>2</formula>
      <formula>2.5</formula>
    </cfRule>
    <cfRule type="cellIs" dxfId="33" priority="3" operator="between">
      <formula>1</formula>
      <formula>2</formula>
    </cfRule>
  </conditionalFormatting>
  <conditionalFormatting sqref="E13:E17 H16 E19:E24 H21 E26:E29">
    <cfRule type="cellIs" dxfId="32" priority="4" operator="between">
      <formula>2.5</formula>
      <formula>3</formula>
    </cfRule>
    <cfRule type="cellIs" dxfId="31" priority="5" operator="between">
      <formula>2</formula>
      <formula>2.5</formula>
    </cfRule>
    <cfRule type="cellIs" dxfId="30" priority="6" operator="between">
      <formula>1</formula>
      <formula>2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A05C-FA83-0F41-960A-5A38298468AB}">
  <dimension ref="A1:N29"/>
  <sheetViews>
    <sheetView tabSelected="1" zoomScale="80" zoomScaleNormal="80" workbookViewId="0">
      <selection activeCell="H19" sqref="H19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133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9</v>
      </c>
      <c r="B5" s="41"/>
      <c r="C5" s="33" t="s">
        <v>10</v>
      </c>
      <c r="D5" s="33" t="s">
        <v>134</v>
      </c>
      <c r="E5" s="38">
        <v>2.5</v>
      </c>
      <c r="F5" s="33">
        <v>0.25</v>
      </c>
      <c r="G5" s="33">
        <f t="shared" ref="G5:G12" si="0">E5*F5</f>
        <v>0.625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13</v>
      </c>
      <c r="B6" s="41"/>
      <c r="C6" s="33" t="s">
        <v>10</v>
      </c>
      <c r="D6" s="33" t="s">
        <v>135</v>
      </c>
      <c r="E6" s="38">
        <v>2.5</v>
      </c>
      <c r="F6" s="33">
        <v>0.1</v>
      </c>
      <c r="G6" s="33">
        <f t="shared" si="0"/>
        <v>0.25</v>
      </c>
      <c r="I6" s="33" t="s">
        <v>99</v>
      </c>
      <c r="J6" s="33" t="s">
        <v>100</v>
      </c>
      <c r="K6" s="33" t="s">
        <v>101</v>
      </c>
      <c r="L6" s="33" t="s">
        <v>14</v>
      </c>
      <c r="M6" s="26"/>
      <c r="N6" s="26"/>
    </row>
    <row r="7" spans="1:14" ht="16" customHeight="1" x14ac:dyDescent="0.2">
      <c r="A7" s="41" t="s">
        <v>15</v>
      </c>
      <c r="B7" s="41"/>
      <c r="C7" s="33" t="s">
        <v>16</v>
      </c>
      <c r="D7" s="33" t="s">
        <v>136</v>
      </c>
      <c r="E7" s="35">
        <v>2</v>
      </c>
      <c r="F7" s="33">
        <v>0.15</v>
      </c>
      <c r="G7" s="33">
        <f t="shared" si="0"/>
        <v>0.3</v>
      </c>
      <c r="I7" s="33" t="s">
        <v>103</v>
      </c>
      <c r="J7" s="33" t="s">
        <v>104</v>
      </c>
      <c r="K7" s="33" t="s">
        <v>105</v>
      </c>
      <c r="L7" s="33" t="s">
        <v>106</v>
      </c>
      <c r="M7" s="26"/>
      <c r="N7" s="26"/>
    </row>
    <row r="8" spans="1:14" ht="16" customHeight="1" x14ac:dyDescent="0.2">
      <c r="A8" s="41" t="s">
        <v>17</v>
      </c>
      <c r="B8" s="41"/>
      <c r="C8" s="33" t="s">
        <v>18</v>
      </c>
      <c r="D8" s="33" t="s">
        <v>137</v>
      </c>
      <c r="E8" s="35">
        <v>2</v>
      </c>
      <c r="F8" s="33">
        <v>0.15</v>
      </c>
      <c r="G8" s="33">
        <f t="shared" si="0"/>
        <v>0.3</v>
      </c>
      <c r="I8" s="33" t="s">
        <v>28</v>
      </c>
      <c r="J8" s="33" t="s">
        <v>108</v>
      </c>
      <c r="K8" s="33" t="s">
        <v>109</v>
      </c>
      <c r="L8" s="33" t="s">
        <v>110</v>
      </c>
      <c r="M8" s="26"/>
      <c r="N8" s="26"/>
    </row>
    <row r="9" spans="1:14" ht="16" customHeight="1" x14ac:dyDescent="0.2">
      <c r="A9" s="41" t="s">
        <v>111</v>
      </c>
      <c r="B9" s="41"/>
      <c r="C9" s="33" t="s">
        <v>10</v>
      </c>
      <c r="D9" s="33" t="s">
        <v>138</v>
      </c>
      <c r="E9" s="36">
        <v>1</v>
      </c>
      <c r="F9" s="33">
        <v>0.05</v>
      </c>
      <c r="G9" s="33">
        <f t="shared" si="0"/>
        <v>0.05</v>
      </c>
      <c r="H9" s="36">
        <f>SUM(G5:G12)</f>
        <v>2.2750000000000004</v>
      </c>
      <c r="I9" s="33" t="s">
        <v>19</v>
      </c>
      <c r="J9" s="33" t="s">
        <v>20</v>
      </c>
      <c r="K9" s="33" t="s">
        <v>21</v>
      </c>
      <c r="L9" s="33" t="s">
        <v>22</v>
      </c>
      <c r="M9" s="26"/>
      <c r="N9" s="26"/>
    </row>
    <row r="10" spans="1:14" ht="16" customHeight="1" x14ac:dyDescent="0.2">
      <c r="A10" s="41" t="s">
        <v>23</v>
      </c>
      <c r="B10" s="41"/>
      <c r="C10" s="33" t="s">
        <v>24</v>
      </c>
      <c r="D10" s="33" t="s">
        <v>139</v>
      </c>
      <c r="E10" s="38">
        <v>2.5</v>
      </c>
      <c r="F10" s="33">
        <v>0.1</v>
      </c>
      <c r="G10" s="33">
        <f t="shared" si="0"/>
        <v>0.25</v>
      </c>
      <c r="I10" s="33" t="s">
        <v>114</v>
      </c>
      <c r="J10" s="33" t="s">
        <v>25</v>
      </c>
      <c r="K10" s="33" t="s">
        <v>115</v>
      </c>
      <c r="L10" s="33" t="s">
        <v>116</v>
      </c>
      <c r="M10" s="26"/>
      <c r="N10" s="26"/>
    </row>
    <row r="11" spans="1:14" ht="16" customHeight="1" x14ac:dyDescent="0.2">
      <c r="A11" s="41" t="s">
        <v>26</v>
      </c>
      <c r="B11" s="41"/>
      <c r="C11" s="33" t="s">
        <v>27</v>
      </c>
      <c r="D11" s="33" t="s">
        <v>140</v>
      </c>
      <c r="E11" s="38">
        <v>2.5</v>
      </c>
      <c r="F11" s="33">
        <v>0.15</v>
      </c>
      <c r="G11" s="33">
        <f t="shared" si="0"/>
        <v>0.375</v>
      </c>
      <c r="I11" s="33" t="s">
        <v>28</v>
      </c>
      <c r="J11" s="33" t="s">
        <v>29</v>
      </c>
      <c r="K11" s="33" t="s">
        <v>30</v>
      </c>
      <c r="L11" s="33" t="s">
        <v>31</v>
      </c>
      <c r="M11" s="26"/>
      <c r="N11" s="26"/>
    </row>
    <row r="12" spans="1:14" x14ac:dyDescent="0.2">
      <c r="A12" s="41" t="s">
        <v>118</v>
      </c>
      <c r="B12" s="41"/>
      <c r="C12" s="33" t="s">
        <v>119</v>
      </c>
      <c r="D12" s="33" t="s">
        <v>121</v>
      </c>
      <c r="E12" s="38">
        <v>2.5</v>
      </c>
      <c r="F12" s="33">
        <v>0.05</v>
      </c>
      <c r="G12" s="33">
        <f t="shared" si="0"/>
        <v>0.125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A1:H1"/>
    <mergeCell ref="I2:I4"/>
    <mergeCell ref="J2:J4"/>
    <mergeCell ref="K2:K4"/>
    <mergeCell ref="L2:L4"/>
    <mergeCell ref="D2:D4"/>
    <mergeCell ref="E2:E4"/>
    <mergeCell ref="F2:F4"/>
    <mergeCell ref="G2:G4"/>
    <mergeCell ref="H2:H4"/>
    <mergeCell ref="J1:K1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10:B10"/>
    <mergeCell ref="A2:C3"/>
    <mergeCell ref="A5:B5"/>
    <mergeCell ref="A6:B6"/>
    <mergeCell ref="A7:B7"/>
    <mergeCell ref="A8:B8"/>
    <mergeCell ref="A9:B9"/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6BD4-9A19-3049-A929-247448F428B1}">
  <dimension ref="A1:N29"/>
  <sheetViews>
    <sheetView workbookViewId="0">
      <selection activeCell="C18" sqref="C18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141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142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143</v>
      </c>
      <c r="E6" s="38">
        <v>2.5</v>
      </c>
      <c r="F6" s="33">
        <v>0.2</v>
      </c>
      <c r="G6" s="33">
        <f t="shared" si="0"/>
        <v>0.5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60</v>
      </c>
      <c r="E7" s="35">
        <v>2</v>
      </c>
      <c r="F7" s="33">
        <v>0.2</v>
      </c>
      <c r="G7" s="33">
        <f t="shared" si="0"/>
        <v>0.4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145</v>
      </c>
      <c r="E8" s="36">
        <v>1</v>
      </c>
      <c r="F8" s="33">
        <v>0.1</v>
      </c>
      <c r="G8" s="33">
        <f t="shared" si="0"/>
        <v>0.1</v>
      </c>
      <c r="H8" s="36">
        <f>SUM(G5:G11)</f>
        <v>2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146</v>
      </c>
      <c r="E9" s="38">
        <v>2.5</v>
      </c>
      <c r="F9" s="33">
        <v>0.1</v>
      </c>
      <c r="G9" s="33">
        <f t="shared" si="0"/>
        <v>0.25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148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152</v>
      </c>
      <c r="E11" s="36">
        <v>1</v>
      </c>
      <c r="F11" s="33">
        <v>0.05</v>
      </c>
      <c r="G11" s="33">
        <f t="shared" si="0"/>
        <v>0.05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29" priority="4" operator="between">
      <formula>2.5</formula>
      <formula>3</formula>
    </cfRule>
    <cfRule type="cellIs" dxfId="28" priority="5" operator="between">
      <formula>2</formula>
      <formula>2.5</formula>
    </cfRule>
    <cfRule type="cellIs" dxfId="27" priority="6" operator="between">
      <formula>1</formula>
      <formula>2</formula>
    </cfRule>
  </conditionalFormatting>
  <conditionalFormatting sqref="H8:H9">
    <cfRule type="cellIs" dxfId="26" priority="1" operator="between">
      <formula>2.5</formula>
      <formula>3</formula>
    </cfRule>
    <cfRule type="cellIs" dxfId="25" priority="2" operator="between">
      <formula>2</formula>
      <formula>2.5</formula>
    </cfRule>
    <cfRule type="cellIs" dxfId="24" priority="3" operator="between">
      <formula>1</formula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7765-EFC5-014D-A574-FC0EEEF72E33}">
  <dimension ref="A1:N29"/>
  <sheetViews>
    <sheetView workbookViewId="0">
      <selection activeCell="C19" sqref="C19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157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158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159</v>
      </c>
      <c r="E6" s="35">
        <v>2</v>
      </c>
      <c r="F6" s="33">
        <v>0.2</v>
      </c>
      <c r="G6" s="33">
        <f t="shared" si="0"/>
        <v>0.4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45</v>
      </c>
      <c r="E7" s="38">
        <v>2.5</v>
      </c>
      <c r="F7" s="33">
        <v>0.2</v>
      </c>
      <c r="G7" s="33">
        <f t="shared" si="0"/>
        <v>0.5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160</v>
      </c>
      <c r="E8" s="35">
        <v>2</v>
      </c>
      <c r="F8" s="33">
        <v>0.1</v>
      </c>
      <c r="G8" s="33">
        <f t="shared" si="0"/>
        <v>0.2</v>
      </c>
      <c r="H8" s="36">
        <f>SUM(G5:G11)</f>
        <v>2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161</v>
      </c>
      <c r="E9" s="36">
        <v>1</v>
      </c>
      <c r="F9" s="33">
        <v>0.1</v>
      </c>
      <c r="G9" s="33">
        <f t="shared" si="0"/>
        <v>0.1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162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154</v>
      </c>
      <c r="E11" s="35">
        <v>2</v>
      </c>
      <c r="F11" s="33">
        <v>0.05</v>
      </c>
      <c r="G11" s="33">
        <f t="shared" si="0"/>
        <v>0.1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23" priority="4" operator="between">
      <formula>2.5</formula>
      <formula>3</formula>
    </cfRule>
    <cfRule type="cellIs" dxfId="22" priority="5" operator="between">
      <formula>2</formula>
      <formula>2.5</formula>
    </cfRule>
    <cfRule type="cellIs" dxfId="21" priority="6" operator="between">
      <formula>1</formula>
      <formula>2</formula>
    </cfRule>
  </conditionalFormatting>
  <conditionalFormatting sqref="H8:H9">
    <cfRule type="cellIs" dxfId="20" priority="1" operator="between">
      <formula>2.5</formula>
      <formula>3</formula>
    </cfRule>
    <cfRule type="cellIs" dxfId="19" priority="2" operator="between">
      <formula>2</formula>
      <formula>2.5</formula>
    </cfRule>
    <cfRule type="cellIs" dxfId="18" priority="3" operator="between">
      <formula>1</formula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B672-069F-5641-BE83-A75EBE9F47A0}">
  <dimension ref="A1:N29"/>
  <sheetViews>
    <sheetView workbookViewId="0">
      <selection activeCell="C23" sqref="C23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169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163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164</v>
      </c>
      <c r="E6" s="38">
        <v>2.5</v>
      </c>
      <c r="F6" s="33">
        <v>0.2</v>
      </c>
      <c r="G6" s="33">
        <f t="shared" si="0"/>
        <v>0.5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165</v>
      </c>
      <c r="E7" s="35">
        <v>2</v>
      </c>
      <c r="F7" s="33">
        <v>0.2</v>
      </c>
      <c r="G7" s="33">
        <f t="shared" si="0"/>
        <v>0.4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166</v>
      </c>
      <c r="E8" s="36">
        <v>1</v>
      </c>
      <c r="F8" s="33">
        <v>0.1</v>
      </c>
      <c r="G8" s="33">
        <f t="shared" si="0"/>
        <v>0.1</v>
      </c>
      <c r="H8" s="36">
        <f>SUM(G5:G11)</f>
        <v>1.925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167</v>
      </c>
      <c r="E9" s="36">
        <v>1</v>
      </c>
      <c r="F9" s="33">
        <v>0.1</v>
      </c>
      <c r="G9" s="33">
        <f t="shared" si="0"/>
        <v>0.1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168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153</v>
      </c>
      <c r="E11" s="38">
        <v>2.5</v>
      </c>
      <c r="F11" s="33">
        <v>0.05</v>
      </c>
      <c r="G11" s="33">
        <f t="shared" si="0"/>
        <v>0.125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17" priority="4" operator="between">
      <formula>2.5</formula>
      <formula>3</formula>
    </cfRule>
    <cfRule type="cellIs" dxfId="16" priority="5" operator="between">
      <formula>2</formula>
      <formula>2.5</formula>
    </cfRule>
    <cfRule type="cellIs" dxfId="15" priority="6" operator="between">
      <formula>1</formula>
      <formula>2</formula>
    </cfRule>
  </conditionalFormatting>
  <conditionalFormatting sqref="H8:H9">
    <cfRule type="cellIs" dxfId="14" priority="1" operator="between">
      <formula>2.5</formula>
      <formula>3</formula>
    </cfRule>
    <cfRule type="cellIs" dxfId="13" priority="2" operator="between">
      <formula>2</formula>
      <formula>2.5</formula>
    </cfRule>
    <cfRule type="cellIs" dxfId="12" priority="3" operator="between">
      <formula>1</formula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11CD-619B-E144-8F7E-E93548436CF4}">
  <dimension ref="A1:N29"/>
  <sheetViews>
    <sheetView workbookViewId="0">
      <selection activeCell="I5" sqref="I5:L13"/>
    </sheetView>
  </sheetViews>
  <sheetFormatPr baseColWidth="10" defaultColWidth="15.1640625" defaultRowHeight="16" x14ac:dyDescent="0.2"/>
  <cols>
    <col min="1" max="10" width="15.1640625" style="33"/>
    <col min="11" max="11" width="16.33203125" style="33" customWidth="1"/>
    <col min="12" max="12" width="16.6640625" style="33" customWidth="1"/>
    <col min="13" max="16384" width="15.1640625" style="33"/>
  </cols>
  <sheetData>
    <row r="1" spans="1:14" ht="16" customHeight="1" x14ac:dyDescent="0.2">
      <c r="A1" s="93" t="s">
        <v>89</v>
      </c>
      <c r="B1" s="94"/>
      <c r="C1" s="94"/>
      <c r="D1" s="94"/>
      <c r="E1" s="94"/>
      <c r="F1" s="94"/>
      <c r="G1" s="94"/>
      <c r="H1" s="9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65" t="s">
        <v>58</v>
      </c>
      <c r="B5" s="66"/>
      <c r="C5" s="3" t="s">
        <v>10</v>
      </c>
      <c r="D5" s="3">
        <v>1.2</v>
      </c>
      <c r="E5" s="4">
        <v>2</v>
      </c>
      <c r="F5" s="22">
        <v>0.18</v>
      </c>
      <c r="G5" s="3">
        <f t="shared" ref="G5:G13" si="0">E5*F5</f>
        <v>0.36</v>
      </c>
      <c r="H5" s="3"/>
      <c r="I5" s="19" t="s">
        <v>44</v>
      </c>
      <c r="J5" s="19" t="s">
        <v>59</v>
      </c>
      <c r="K5" s="19" t="s">
        <v>60</v>
      </c>
      <c r="L5" s="19" t="s">
        <v>61</v>
      </c>
      <c r="M5" s="26"/>
      <c r="N5" s="26"/>
    </row>
    <row r="6" spans="1:14" ht="16" customHeight="1" x14ac:dyDescent="0.2">
      <c r="A6" s="65" t="s">
        <v>62</v>
      </c>
      <c r="B6" s="66"/>
      <c r="C6" s="3" t="s">
        <v>63</v>
      </c>
      <c r="D6" s="3" t="s">
        <v>64</v>
      </c>
      <c r="E6" s="4">
        <v>2.5</v>
      </c>
      <c r="F6" s="22">
        <v>0.12</v>
      </c>
      <c r="G6" s="3">
        <f t="shared" si="0"/>
        <v>0.3</v>
      </c>
      <c r="H6" s="3"/>
      <c r="I6" s="19" t="s">
        <v>65</v>
      </c>
      <c r="J6" s="19" t="s">
        <v>66</v>
      </c>
      <c r="K6" s="19" t="s">
        <v>67</v>
      </c>
      <c r="L6" s="19" t="s">
        <v>68</v>
      </c>
      <c r="M6" s="26"/>
      <c r="N6" s="26"/>
    </row>
    <row r="7" spans="1:14" ht="16" customHeight="1" x14ac:dyDescent="0.2">
      <c r="A7" s="65" t="s">
        <v>69</v>
      </c>
      <c r="B7" s="66"/>
      <c r="C7" s="3" t="s">
        <v>16</v>
      </c>
      <c r="D7" s="3">
        <v>60</v>
      </c>
      <c r="E7" s="4">
        <v>2</v>
      </c>
      <c r="F7" s="22">
        <v>0.12</v>
      </c>
      <c r="G7" s="3">
        <f t="shared" si="0"/>
        <v>0.24</v>
      </c>
      <c r="H7" s="3"/>
      <c r="I7" s="19" t="s">
        <v>39</v>
      </c>
      <c r="J7" s="19" t="s">
        <v>40</v>
      </c>
      <c r="K7" s="19" t="s">
        <v>41</v>
      </c>
      <c r="L7" s="19" t="s">
        <v>42</v>
      </c>
      <c r="M7" s="26"/>
      <c r="N7" s="26"/>
    </row>
    <row r="8" spans="1:14" ht="16" customHeight="1" x14ac:dyDescent="0.2">
      <c r="A8" s="65" t="s">
        <v>70</v>
      </c>
      <c r="B8" s="66"/>
      <c r="C8" s="3" t="s">
        <v>18</v>
      </c>
      <c r="D8" s="3">
        <v>60</v>
      </c>
      <c r="E8" s="4">
        <v>2.5</v>
      </c>
      <c r="F8" s="22">
        <v>0.12</v>
      </c>
      <c r="G8" s="3">
        <f t="shared" si="0"/>
        <v>0.3</v>
      </c>
      <c r="H8" s="4">
        <f>SUM(G5:G13)</f>
        <v>2.2549999999999999</v>
      </c>
      <c r="I8" s="19" t="s">
        <v>71</v>
      </c>
      <c r="J8" s="19" t="s">
        <v>72</v>
      </c>
      <c r="K8" s="19" t="s">
        <v>73</v>
      </c>
      <c r="L8" s="19" t="s">
        <v>74</v>
      </c>
      <c r="M8" s="26"/>
      <c r="N8" s="26"/>
    </row>
    <row r="9" spans="1:14" ht="16" customHeight="1" x14ac:dyDescent="0.2">
      <c r="A9" s="65" t="s">
        <v>75</v>
      </c>
      <c r="B9" s="66"/>
      <c r="C9" s="3" t="s">
        <v>10</v>
      </c>
      <c r="D9" s="3">
        <v>85</v>
      </c>
      <c r="E9" s="4">
        <v>2.5</v>
      </c>
      <c r="F9" s="22">
        <v>0.1</v>
      </c>
      <c r="G9" s="3">
        <f t="shared" si="0"/>
        <v>0.25</v>
      </c>
      <c r="H9" s="7"/>
      <c r="I9" s="19" t="s">
        <v>54</v>
      </c>
      <c r="J9" s="19" t="s">
        <v>12</v>
      </c>
      <c r="K9" s="19" t="s">
        <v>55</v>
      </c>
      <c r="L9" s="19" t="s">
        <v>56</v>
      </c>
      <c r="M9" s="26"/>
      <c r="N9" s="26"/>
    </row>
    <row r="10" spans="1:14" ht="16" customHeight="1" x14ac:dyDescent="0.2">
      <c r="A10" s="65" t="s">
        <v>52</v>
      </c>
      <c r="B10" s="66"/>
      <c r="C10" s="3" t="s">
        <v>10</v>
      </c>
      <c r="D10" s="3">
        <v>31</v>
      </c>
      <c r="E10" s="4">
        <v>2.5</v>
      </c>
      <c r="F10" s="22">
        <v>0.12</v>
      </c>
      <c r="G10" s="3">
        <f t="shared" si="0"/>
        <v>0.3</v>
      </c>
      <c r="H10" s="3"/>
      <c r="I10" s="19" t="s">
        <v>19</v>
      </c>
      <c r="J10" s="19" t="s">
        <v>20</v>
      </c>
      <c r="K10" s="19" t="s">
        <v>53</v>
      </c>
      <c r="L10" s="19" t="s">
        <v>22</v>
      </c>
      <c r="M10" s="26"/>
      <c r="N10" s="26"/>
    </row>
    <row r="11" spans="1:14" ht="16" customHeight="1" x14ac:dyDescent="0.2">
      <c r="A11" s="65" t="s">
        <v>76</v>
      </c>
      <c r="B11" s="66"/>
      <c r="C11" s="3" t="s">
        <v>77</v>
      </c>
      <c r="D11" s="3">
        <v>1.9</v>
      </c>
      <c r="E11" s="4">
        <v>2</v>
      </c>
      <c r="F11" s="22">
        <v>0.05</v>
      </c>
      <c r="G11" s="3">
        <f t="shared" si="0"/>
        <v>0.1</v>
      </c>
      <c r="H11" s="20"/>
      <c r="I11" s="28" t="s">
        <v>78</v>
      </c>
      <c r="J11" s="29" t="s">
        <v>79</v>
      </c>
      <c r="K11" s="29" t="s">
        <v>80</v>
      </c>
      <c r="L11" s="29" t="s">
        <v>81</v>
      </c>
      <c r="M11" s="26"/>
      <c r="N11" s="26"/>
    </row>
    <row r="12" spans="1:14" x14ac:dyDescent="0.2">
      <c r="A12" s="65" t="s">
        <v>82</v>
      </c>
      <c r="B12" s="66"/>
      <c r="C12" s="3" t="s">
        <v>83</v>
      </c>
      <c r="D12" s="2" t="s">
        <v>85</v>
      </c>
      <c r="E12" s="4">
        <v>2.5</v>
      </c>
      <c r="F12" s="22">
        <v>0.05</v>
      </c>
      <c r="G12" s="3">
        <f t="shared" si="0"/>
        <v>0.125</v>
      </c>
      <c r="H12" s="10"/>
      <c r="I12" s="28" t="s">
        <v>85</v>
      </c>
      <c r="J12" s="29" t="s">
        <v>86</v>
      </c>
      <c r="K12" s="29" t="s">
        <v>84</v>
      </c>
      <c r="L12" s="29" t="s">
        <v>87</v>
      </c>
      <c r="M12" s="10"/>
      <c r="N12" s="10"/>
    </row>
    <row r="13" spans="1:14" x14ac:dyDescent="0.2">
      <c r="A13" s="65" t="s">
        <v>90</v>
      </c>
      <c r="B13" s="66"/>
      <c r="C13" s="3" t="s">
        <v>57</v>
      </c>
      <c r="D13" s="10" t="s">
        <v>91</v>
      </c>
      <c r="E13" s="4">
        <v>2</v>
      </c>
      <c r="F13" s="31">
        <v>0.14000000000000001</v>
      </c>
      <c r="G13" s="3">
        <f t="shared" si="0"/>
        <v>0.28000000000000003</v>
      </c>
      <c r="H13" s="10"/>
      <c r="I13" s="28" t="s">
        <v>94</v>
      </c>
      <c r="J13" s="29" t="s">
        <v>91</v>
      </c>
      <c r="K13" s="29" t="s">
        <v>92</v>
      </c>
      <c r="L13" s="29" t="s">
        <v>93</v>
      </c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phoneticPr fontId="10" type="noConversion"/>
  <conditionalFormatting sqref="E5:E13">
    <cfRule type="cellIs" dxfId="11" priority="4" operator="between">
      <formula>2.5</formula>
      <formula>3</formula>
    </cfRule>
    <cfRule type="cellIs" dxfId="10" priority="5" operator="between">
      <formula>2</formula>
      <formula>2.5</formula>
    </cfRule>
    <cfRule type="cellIs" dxfId="9" priority="6" operator="between">
      <formula>1</formula>
      <formula>2</formula>
    </cfRule>
  </conditionalFormatting>
  <conditionalFormatting sqref="H8:H9">
    <cfRule type="cellIs" dxfId="8" priority="1" operator="between">
      <formula>2.5</formula>
      <formula>3</formula>
    </cfRule>
    <cfRule type="cellIs" dxfId="7" priority="2" operator="between">
      <formula>2</formula>
      <formula>2.5</formula>
    </cfRule>
    <cfRule type="cellIs" dxfId="6" priority="3" operator="between">
      <formula>1</formula>
      <formula>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AFE-B170-4443-BB39-DF14479D79D1}">
  <dimension ref="A1:N29"/>
  <sheetViews>
    <sheetView workbookViewId="0">
      <selection activeCell="F13" sqref="F13"/>
    </sheetView>
  </sheetViews>
  <sheetFormatPr baseColWidth="10" defaultColWidth="15.5" defaultRowHeight="16" x14ac:dyDescent="0.2"/>
  <cols>
    <col min="1" max="2" width="15.5" style="33"/>
    <col min="3" max="3" width="13.33203125" style="33" customWidth="1"/>
    <col min="4" max="4" width="16.83203125" style="33" customWidth="1"/>
    <col min="5" max="16384" width="15.5" style="33"/>
  </cols>
  <sheetData>
    <row r="1" spans="1:14" ht="16" customHeight="1" x14ac:dyDescent="0.2">
      <c r="A1" s="93" t="s">
        <v>88</v>
      </c>
      <c r="B1" s="94"/>
      <c r="C1" s="94"/>
      <c r="D1" s="94"/>
      <c r="E1" s="94"/>
      <c r="F1" s="94"/>
      <c r="G1" s="94"/>
      <c r="H1" s="9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65" t="s">
        <v>58</v>
      </c>
      <c r="B5" s="66"/>
      <c r="C5" s="3" t="s">
        <v>10</v>
      </c>
      <c r="D5" s="3">
        <v>1.2</v>
      </c>
      <c r="E5" s="4">
        <v>2</v>
      </c>
      <c r="F5" s="22">
        <v>0.18</v>
      </c>
      <c r="G5" s="3">
        <f t="shared" ref="G5:G13" si="0">E5*F5</f>
        <v>0.36</v>
      </c>
      <c r="H5" s="3"/>
      <c r="I5" s="19" t="s">
        <v>44</v>
      </c>
      <c r="J5" s="19" t="s">
        <v>59</v>
      </c>
      <c r="K5" s="19" t="s">
        <v>60</v>
      </c>
      <c r="L5" s="19" t="s">
        <v>61</v>
      </c>
      <c r="M5" s="26"/>
      <c r="N5" s="26"/>
    </row>
    <row r="6" spans="1:14" ht="16" customHeight="1" x14ac:dyDescent="0.2">
      <c r="A6" s="65" t="s">
        <v>62</v>
      </c>
      <c r="B6" s="66"/>
      <c r="C6" s="3" t="s">
        <v>63</v>
      </c>
      <c r="D6" s="3" t="s">
        <v>64</v>
      </c>
      <c r="E6" s="4">
        <v>1</v>
      </c>
      <c r="F6" s="22">
        <v>0.12</v>
      </c>
      <c r="G6" s="3">
        <f t="shared" si="0"/>
        <v>0.12</v>
      </c>
      <c r="H6" s="3"/>
      <c r="I6" s="19" t="s">
        <v>65</v>
      </c>
      <c r="J6" s="19" t="s">
        <v>66</v>
      </c>
      <c r="K6" s="19" t="s">
        <v>67</v>
      </c>
      <c r="L6" s="19" t="s">
        <v>68</v>
      </c>
      <c r="M6" s="26"/>
      <c r="N6" s="26"/>
    </row>
    <row r="7" spans="1:14" ht="16" customHeight="1" x14ac:dyDescent="0.2">
      <c r="A7" s="65" t="s">
        <v>69</v>
      </c>
      <c r="B7" s="66"/>
      <c r="C7" s="3" t="s">
        <v>16</v>
      </c>
      <c r="D7" s="3">
        <v>60</v>
      </c>
      <c r="E7" s="4">
        <v>2.5</v>
      </c>
      <c r="F7" s="22">
        <v>0.12</v>
      </c>
      <c r="G7" s="3">
        <f t="shared" si="0"/>
        <v>0.3</v>
      </c>
      <c r="H7" s="3"/>
      <c r="I7" s="19" t="s">
        <v>39</v>
      </c>
      <c r="J7" s="19" t="s">
        <v>40</v>
      </c>
      <c r="K7" s="19" t="s">
        <v>41</v>
      </c>
      <c r="L7" s="19" t="s">
        <v>42</v>
      </c>
      <c r="M7" s="26"/>
      <c r="N7" s="26"/>
    </row>
    <row r="8" spans="1:14" ht="16" customHeight="1" x14ac:dyDescent="0.2">
      <c r="A8" s="65" t="s">
        <v>70</v>
      </c>
      <c r="B8" s="66"/>
      <c r="C8" s="3" t="s">
        <v>18</v>
      </c>
      <c r="D8" s="3">
        <v>60</v>
      </c>
      <c r="E8" s="4">
        <v>2.5</v>
      </c>
      <c r="F8" s="22">
        <v>0.12</v>
      </c>
      <c r="G8" s="3">
        <f t="shared" si="0"/>
        <v>0.3</v>
      </c>
      <c r="H8" s="4">
        <f>SUM(G5:G13)</f>
        <v>1.9700000000000002</v>
      </c>
      <c r="I8" s="19" t="s">
        <v>71</v>
      </c>
      <c r="J8" s="19" t="s">
        <v>72</v>
      </c>
      <c r="K8" s="19" t="s">
        <v>73</v>
      </c>
      <c r="L8" s="19" t="s">
        <v>74</v>
      </c>
      <c r="M8" s="26"/>
      <c r="N8" s="26"/>
    </row>
    <row r="9" spans="1:14" ht="16" customHeight="1" x14ac:dyDescent="0.2">
      <c r="A9" s="65" t="s">
        <v>75</v>
      </c>
      <c r="B9" s="66"/>
      <c r="C9" s="3" t="s">
        <v>10</v>
      </c>
      <c r="D9" s="3">
        <v>85</v>
      </c>
      <c r="E9" s="4">
        <v>2</v>
      </c>
      <c r="F9" s="22">
        <v>0.1</v>
      </c>
      <c r="G9" s="3">
        <f t="shared" si="0"/>
        <v>0.2</v>
      </c>
      <c r="H9" s="7"/>
      <c r="I9" s="19" t="s">
        <v>54</v>
      </c>
      <c r="J9" s="19" t="s">
        <v>12</v>
      </c>
      <c r="K9" s="19" t="s">
        <v>55</v>
      </c>
      <c r="L9" s="19" t="s">
        <v>56</v>
      </c>
      <c r="M9" s="26"/>
      <c r="N9" s="26"/>
    </row>
    <row r="10" spans="1:14" ht="16" customHeight="1" x14ac:dyDescent="0.2">
      <c r="A10" s="65" t="s">
        <v>52</v>
      </c>
      <c r="B10" s="66"/>
      <c r="C10" s="3" t="s">
        <v>10</v>
      </c>
      <c r="D10" s="3">
        <v>31</v>
      </c>
      <c r="E10" s="4">
        <v>2.5</v>
      </c>
      <c r="F10" s="22">
        <v>0.12</v>
      </c>
      <c r="G10" s="3">
        <f t="shared" si="0"/>
        <v>0.3</v>
      </c>
      <c r="H10" s="3"/>
      <c r="I10" s="19" t="s">
        <v>19</v>
      </c>
      <c r="J10" s="19" t="s">
        <v>20</v>
      </c>
      <c r="K10" s="19" t="s">
        <v>53</v>
      </c>
      <c r="L10" s="19" t="s">
        <v>22</v>
      </c>
      <c r="M10" s="26"/>
      <c r="N10" s="26"/>
    </row>
    <row r="11" spans="1:14" ht="16" customHeight="1" x14ac:dyDescent="0.2">
      <c r="A11" s="65" t="s">
        <v>76</v>
      </c>
      <c r="B11" s="66"/>
      <c r="C11" s="3" t="s">
        <v>77</v>
      </c>
      <c r="D11" s="3">
        <v>1.9</v>
      </c>
      <c r="E11" s="4">
        <v>2.5</v>
      </c>
      <c r="F11" s="22">
        <v>0.05</v>
      </c>
      <c r="G11" s="3">
        <f t="shared" si="0"/>
        <v>0.125</v>
      </c>
      <c r="H11" s="20"/>
      <c r="I11" s="28" t="s">
        <v>78</v>
      </c>
      <c r="J11" s="29" t="s">
        <v>79</v>
      </c>
      <c r="K11" s="29" t="s">
        <v>80</v>
      </c>
      <c r="L11" s="29" t="s">
        <v>81</v>
      </c>
      <c r="M11" s="26"/>
      <c r="N11" s="26"/>
    </row>
    <row r="12" spans="1:14" x14ac:dyDescent="0.2">
      <c r="A12" s="65" t="s">
        <v>82</v>
      </c>
      <c r="B12" s="66"/>
      <c r="C12" s="3" t="s">
        <v>83</v>
      </c>
      <c r="D12" s="2" t="s">
        <v>85</v>
      </c>
      <c r="E12" s="4">
        <v>2.5</v>
      </c>
      <c r="F12" s="22">
        <v>0.05</v>
      </c>
      <c r="G12" s="3">
        <f t="shared" si="0"/>
        <v>0.125</v>
      </c>
      <c r="H12" s="10"/>
      <c r="I12" s="28" t="s">
        <v>85</v>
      </c>
      <c r="J12" s="29" t="s">
        <v>86</v>
      </c>
      <c r="K12" s="29" t="s">
        <v>84</v>
      </c>
      <c r="L12" s="29" t="s">
        <v>87</v>
      </c>
      <c r="M12" s="10"/>
      <c r="N12" s="10"/>
    </row>
    <row r="13" spans="1:14" x14ac:dyDescent="0.2">
      <c r="A13" s="65" t="s">
        <v>90</v>
      </c>
      <c r="B13" s="66"/>
      <c r="C13" s="3" t="s">
        <v>57</v>
      </c>
      <c r="D13" s="10" t="s">
        <v>92</v>
      </c>
      <c r="E13" s="4">
        <v>1</v>
      </c>
      <c r="F13" s="31">
        <v>0.14000000000000001</v>
      </c>
      <c r="G13" s="3">
        <f t="shared" si="0"/>
        <v>0.14000000000000001</v>
      </c>
      <c r="H13" s="10"/>
      <c r="I13" s="28" t="s">
        <v>94</v>
      </c>
      <c r="J13" s="29" t="s">
        <v>91</v>
      </c>
      <c r="K13" s="29" t="s">
        <v>92</v>
      </c>
      <c r="L13" s="29" t="s">
        <v>93</v>
      </c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8:H28"/>
    <mergeCell ref="A21:B21"/>
    <mergeCell ref="F29:H29"/>
    <mergeCell ref="A1:H1"/>
    <mergeCell ref="J1:K1"/>
    <mergeCell ref="D2:D4"/>
    <mergeCell ref="E2:E4"/>
    <mergeCell ref="F2:F4"/>
    <mergeCell ref="G2:G4"/>
    <mergeCell ref="H2:H4"/>
    <mergeCell ref="I2:I4"/>
    <mergeCell ref="J2:J4"/>
    <mergeCell ref="A23:B23"/>
    <mergeCell ref="A24:B24"/>
    <mergeCell ref="F25:H25"/>
    <mergeCell ref="F26:H26"/>
    <mergeCell ref="F27:H27"/>
    <mergeCell ref="A15:B15"/>
    <mergeCell ref="A17:B17"/>
    <mergeCell ref="A18:B18"/>
    <mergeCell ref="A19:B19"/>
    <mergeCell ref="A20:B20"/>
    <mergeCell ref="A4:B4"/>
    <mergeCell ref="A22:B22"/>
    <mergeCell ref="A2:C3"/>
    <mergeCell ref="K2:K4"/>
    <mergeCell ref="L2:L4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conditionalFormatting sqref="E5:E13">
    <cfRule type="cellIs" dxfId="5" priority="4" operator="between">
      <formula>2.5</formula>
      <formula>3</formula>
    </cfRule>
    <cfRule type="cellIs" dxfId="4" priority="5" operator="between">
      <formula>2</formula>
      <formula>2.5</formula>
    </cfRule>
    <cfRule type="cellIs" dxfId="3" priority="6" operator="between">
      <formula>1</formula>
      <formula>2</formula>
    </cfRule>
  </conditionalFormatting>
  <conditionalFormatting sqref="H8:H9">
    <cfRule type="cellIs" dxfId="2" priority="1" operator="between">
      <formula>2.5</formula>
      <formula>3</formula>
    </cfRule>
    <cfRule type="cellIs" dxfId="1" priority="2" operator="between">
      <formula>2</formula>
      <formula>2.5</formula>
    </cfRule>
    <cfRule type="cellIs" dxfId="0" priority="3" operator="between">
      <formula>1</formula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 Planning 1</vt:lpstr>
      <vt:lpstr>Path Planning 2</vt:lpstr>
      <vt:lpstr>Path Planning 3</vt:lpstr>
      <vt:lpstr>Obj Avoidance 1</vt:lpstr>
      <vt:lpstr>Obj Avoidance 2</vt:lpstr>
      <vt:lpstr>Obj Avoidance 3</vt:lpstr>
      <vt:lpstr>Perception 1</vt:lpstr>
      <vt:lpstr>Perception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Changwe B. Musonda</dc:creator>
  <cp:keywords/>
  <dc:description/>
  <cp:lastModifiedBy>Changwe B. Musonda</cp:lastModifiedBy>
  <cp:revision/>
  <dcterms:created xsi:type="dcterms:W3CDTF">2025-10-29T04:25:15Z</dcterms:created>
  <dcterms:modified xsi:type="dcterms:W3CDTF">2026-02-18T20:01:48Z</dcterms:modified>
  <cp:category/>
  <cp:contentStatus/>
</cp:coreProperties>
</file>